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Matrix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<sst xmlns="http://schemas.openxmlformats.org/spreadsheetml/2006/main" count="188" uniqueCount="133">
  <si>
    <t xml:space="preserve">ClearPath — Regulatory Risk Matrix · 15 Indian Digital Health Startups</t>
  </si>
  <si>
    <t xml:space="preserve">v3 calibration · Readiness and Risk are separate metrics · Certainty language follows regulator posture</t>
  </si>
  <si>
    <t xml:space="preserve">#</t>
  </si>
  <si>
    <t xml:space="preserve">Company</t>
  </si>
  <si>
    <t xml:space="preserve">Descriptor</t>
  </si>
  <si>
    <t xml:space="preserve">MD?</t>
  </si>
  <si>
    <t xml:space="preserve">Class</t>
  </si>
  <si>
    <t xml:space="preserve">Risk</t>
  </si>
  <si>
    <t xml:space="preserve">Readiness</t>
  </si>
  <si>
    <t xml:space="preserve">Timeline</t>
  </si>
  <si>
    <t xml:space="preserve">Key Regulations</t>
  </si>
  <si>
    <t xml:space="preserve">Status</t>
  </si>
  <si>
    <t xml:space="preserve">Eka Care</t>
  </si>
  <si>
    <t xml:space="preserve">Digital health records + engagement platform (ABDM M1/M2/M3)</t>
  </si>
  <si>
    <t xml:space="preserve">No</t>
  </si>
  <si>
    <t xml:space="preserve">N/A</t>
  </si>
  <si>
    <t xml:space="preserve">Low</t>
  </si>
  <si>
    <t xml:space="preserve">ABDM ✓ · DPDP-SDF · NABH</t>
  </si>
  <si>
    <t xml:space="preserve">Scale — not a medical device</t>
  </si>
  <si>
    <t xml:space="preserve">EkaScribe (of Eka Care)</t>
  </si>
  <si>
    <t xml:space="preserve">AI-assisted clinical documentation + Rx drafting</t>
  </si>
  <si>
    <t xml:space="preserve">Feature</t>
  </si>
  <si>
    <t xml:space="preserve">B/C (AI-CDS, scoped)</t>
  </si>
  <si>
    <t xml:space="preserve">High</t>
  </si>
  <si>
    <t xml:space="preserve">4/10</t>
  </si>
  <si>
    <t xml:space="preserve">9–14 mo</t>
  </si>
  <si>
    <t xml:space="preserve">CDSCO · DPDP · ICMR · ABDM ✓</t>
  </si>
  <si>
    <t xml:space="preserve">Live since Sep 2025; pre-CDSCO-SaMD-draft</t>
  </si>
  <si>
    <t xml:space="preserve">Vyuhaa / CerviAI</t>
  </si>
  <si>
    <t xml:space="preserve">AI digital pathology for cervical cancer screening</t>
  </si>
  <si>
    <t xml:space="preserve">Yes</t>
  </si>
  <si>
    <t xml:space="preserve">C (IVD-SaMD)</t>
  </si>
  <si>
    <t xml:space="preserve">6/10</t>
  </si>
  <si>
    <t xml:space="preserve">6–9 mo</t>
  </si>
  <si>
    <t xml:space="preserve">CDSCO · ICMR ✓ · NABH · NABL</t>
  </si>
  <si>
    <t xml:space="preserve">MD-12 filed Jul 2024; ongoing</t>
  </si>
  <si>
    <t xml:space="preserve">Neodocs</t>
  </si>
  <si>
    <t xml:space="preserve">At-home diagnostic test kits + app analytics</t>
  </si>
  <si>
    <t xml:space="preserve">C (IVD)</t>
  </si>
  <si>
    <t xml:space="preserve">7/10</t>
  </si>
  <si>
    <t xml:space="preserve">3–6 mo</t>
  </si>
  <si>
    <t xml:space="preserve">CDSCO · DPDP · ICMR · NABL</t>
  </si>
  <si>
    <t xml:space="preserve">Post-approval, scale</t>
  </si>
  <si>
    <t xml:space="preserve">Niramai</t>
  </si>
  <si>
    <t xml:space="preserve">Non-invasive thermal + AI breast cancer screening</t>
  </si>
  <si>
    <t xml:space="preserve">C</t>
  </si>
  <si>
    <t xml:space="preserve">8/10</t>
  </si>
  <si>
    <t xml:space="preserve">0–2 mo</t>
  </si>
  <si>
    <t xml:space="preserve">CDSCO ✓ · NABH · ABDM · ICMR</t>
  </si>
  <si>
    <t xml:space="preserve">Post-approval, global expansion</t>
  </si>
  <si>
    <t xml:space="preserve">Forus Health</t>
  </si>
  <si>
    <t xml:space="preserve">Affordable portable ophthalmology diagnostic hardware</t>
  </si>
  <si>
    <t xml:space="preserve">Hardware</t>
  </si>
  <si>
    <t xml:space="preserve">D</t>
  </si>
  <si>
    <t xml:space="preserve">Medium</t>
  </si>
  <si>
    <t xml:space="preserve">9/10</t>
  </si>
  <si>
    <t xml:space="preserve">CDSCO ✓ · NABH · DPDP-SDF · ABDM</t>
  </si>
  <si>
    <t xml:space="preserve">Post-approval, large-scale deploy</t>
  </si>
  <si>
    <t xml:space="preserve">Driefcase</t>
  </si>
  <si>
    <t xml:space="preserve">Digital health records locker (ABDM-linked)</t>
  </si>
  <si>
    <t xml:space="preserve">ABDM core · DPDP</t>
  </si>
  <si>
    <t xml:space="preserve">Growth — not a medical device</t>
  </si>
  <si>
    <t xml:space="preserve">Khushi Baby</t>
  </si>
  <si>
    <t xml:space="preserve">Public health platform for NCD screening workflows</t>
  </si>
  <si>
    <t xml:space="preserve">Hybrid</t>
  </si>
  <si>
    <t xml:space="preserve">B (scoped)</t>
  </si>
  <si>
    <t xml:space="preserve">ABDM · DPDP-SDF · NABH · CDSCO-scoped</t>
  </si>
  <si>
    <t xml:space="preserve">Post-approval, gov-deployed</t>
  </si>
  <si>
    <t xml:space="preserve">Intelehealth</t>
  </si>
  <si>
    <t xml:space="preserve">Telemedicine + AI clinical decision support</t>
  </si>
  <si>
    <t xml:space="preserve">C (AI-CDS, scoped)</t>
  </si>
  <si>
    <t xml:space="preserve">5/10</t>
  </si>
  <si>
    <t xml:space="preserve">MCI Telemed · CDSCO-scoped · ABDM · DPDP</t>
  </si>
  <si>
    <t xml:space="preserve">Post-approval, multi-region</t>
  </si>
  <si>
    <t xml:space="preserve">Bajaj Finserv Health</t>
  </si>
  <si>
    <t xml:space="preserve">Health + fintech aggregator (consult, diag, insurance)</t>
  </si>
  <si>
    <t xml:space="preserve">DPDP-SDF · IRDAI · ABDM · MCI</t>
  </si>
  <si>
    <t xml:space="preserve">Scale — platform aggregator</t>
  </si>
  <si>
    <t xml:space="preserve">ABDM</t>
  </si>
  <si>
    <t xml:space="preserve">National digital health infrastructure (ABHA/HPR/HFR)</t>
  </si>
  <si>
    <t xml:space="preserve">Meta</t>
  </si>
  <si>
    <t xml:space="preserve">—</t>
  </si>
  <si>
    <t xml:space="preserve">Reject — regulator/infrastructure, not a product</t>
  </si>
  <si>
    <t xml:space="preserve">Rejected by pre-router</t>
  </si>
  <si>
    <t xml:space="preserve">Tata 1mg</t>
  </si>
  <si>
    <t xml:space="preserve">Pharmacy e-commerce + diagnostics + consultations</t>
  </si>
  <si>
    <t xml:space="preserve">Features</t>
  </si>
  <si>
    <t xml:space="preserve">CDSCO-Pharmacy · DPDP-SDF · MCI · NABL</t>
  </si>
  <si>
    <t xml:space="preserve">HealthifyMe</t>
  </si>
  <si>
    <t xml:space="preserve">Wellness + nutrition + AI coach</t>
  </si>
  <si>
    <t xml:space="preserve">DPDP-SDF (wellness carve-out)</t>
  </si>
  <si>
    <t xml:space="preserve">Scale — wellness carve-out</t>
  </si>
  <si>
    <t xml:space="preserve">Ultrahuman</t>
  </si>
  <si>
    <t xml:space="preserve">Ring + CGM metabolic fitness (CGM licensed from Abbott)</t>
  </si>
  <si>
    <t xml:space="preserve">Scoped (if clinical claim)</t>
  </si>
  <si>
    <t xml:space="preserve">DPDP · CDSCO (only if clinical claim)</t>
  </si>
  <si>
    <t xml:space="preserve">Scale, wellness positioning</t>
  </si>
  <si>
    <t xml:space="preserve">Biopeak</t>
  </si>
  <si>
    <t xml:space="preserve">AI health analytics + performance monitoring (export-heavy)</t>
  </si>
  <si>
    <t xml:space="preserve">C (novel)</t>
  </si>
  <si>
    <t xml:space="preserve">2/10</t>
  </si>
  <si>
    <t xml:space="preserve">12–18 mo</t>
  </si>
  <si>
    <t xml:space="preserve">CDSCO (mfg + export NOC) · ICMR · DPDP</t>
  </si>
  <si>
    <t xml:space="preserve">Prototype, pre-submission</t>
  </si>
  <si>
    <t xml:space="preserve">Rainmatter</t>
  </si>
  <si>
    <t xml:space="preserve">Ecosystem capital + venture-building for health/wellness</t>
  </si>
  <si>
    <t xml:space="preserve">Reject — investor/ecosystem, not a product</t>
  </si>
  <si>
    <t xml:space="preserve">Classifications reflect likely scope under CDSCO MDR 2017 + draft SaMD guidance (Oct 2025). Certainty language follows regulator posture — 'likely', 'may apply', 'forms TBD'.</t>
  </si>
  <si>
    <t xml:space="preserve">ClearPath — Bucket Summary</t>
  </si>
  <si>
    <t xml:space="preserve">By Medical Device Status</t>
  </si>
  <si>
    <t xml:space="preserve">Category</t>
  </si>
  <si>
    <t xml:space="preserve">Count</t>
  </si>
  <si>
    <t xml:space="preserve">Example Products</t>
  </si>
  <si>
    <t xml:space="preserve">Yes (medical device)</t>
  </si>
  <si>
    <t xml:space="preserve">CerviAI, Neodocs, Niramai, Biopeak</t>
  </si>
  <si>
    <t xml:space="preserve">Feature (sub-feature SaMD)</t>
  </si>
  <si>
    <t xml:space="preserve">EkaScribe, Intelehealth, Tata 1mg</t>
  </si>
  <si>
    <t xml:space="preserve">Hybrid (mixed scope)</t>
  </si>
  <si>
    <t xml:space="preserve">Hardware (wearable/device)</t>
  </si>
  <si>
    <t xml:space="preserve">Forus Health, Ultrahuman</t>
  </si>
  <si>
    <t xml:space="preserve">No (not a medical device)</t>
  </si>
  <si>
    <t xml:space="preserve">Eka Care, Driefcase, Bajaj, HealthifyMe</t>
  </si>
  <si>
    <t xml:space="preserve">Meta (rejected)</t>
  </si>
  <si>
    <t xml:space="preserve">ABDM, Rainmatter</t>
  </si>
  <si>
    <t xml:space="preserve">By Risk Level</t>
  </si>
  <si>
    <t xml:space="preserve">Notes</t>
  </si>
  <si>
    <t xml:space="preserve">Clear medical devices + in-market SaMD</t>
  </si>
  <si>
    <t xml:space="preserve">Scoped / feature-level exposure</t>
  </si>
  <si>
    <t xml:space="preserve">Platforms, wellness, aggregators</t>
  </si>
  <si>
    <t xml:space="preserve">N/A (rejected)</t>
  </si>
  <si>
    <t xml:space="preserve">Regulators + investors</t>
  </si>
  <si>
    <t xml:space="preserve">Key insight</t>
  </si>
  <si>
    <t xml:space="preserve">4 of 14 products (29%) have sub-feature or hybrid medical-device exposure — their core product isn't a medical device, but a specific feature IS. These are the platforms that don't know they're in CDSCO's scope. ClearPath's highest-value insight: 'Your core isn't regulated. This feature is.'
Additionally, 4 of 14 (29%) are clean medical devices needing full CDSCO pathways. 3 of 14 (21%) are platforms where CDSCO is N/A — the 'you don't need CDSCO' clarity is worth ₹499. 2 of 14 (14%) are wellness/hardware edge cases with scoped exposure.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</si>
</sst>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6E56"/>
      <name val="Georgia"/>
      <family val="0"/>
      <charset val="1"/>
    </font>
    <font>
      <i val="true"/>
      <sz val="10"/>
      <color rgb="FF5F5E5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5F5E5A"/>
      <name val="Calibri"/>
      <family val="0"/>
      <charset val="1"/>
    </font>
    <font>
      <b val="true"/>
      <sz val="10"/>
      <color rgb="FF1A1A1A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0"/>
      <color rgb="FF3B6D11"/>
      <name val="Calibri"/>
      <family val="0"/>
      <charset val="1"/>
    </font>
    <font>
      <b val="true"/>
      <sz val="10"/>
      <color rgb="FF854F0B"/>
      <name val="Calibri"/>
      <family val="0"/>
      <charset val="1"/>
    </font>
    <font>
      <b val="true"/>
      <sz val="10"/>
      <color rgb="FFA32D2D"/>
      <name val="Calibri"/>
      <family val="0"/>
      <charset val="1"/>
    </font>
    <font>
      <b val="true"/>
      <sz val="10"/>
      <color rgb="FF0C447C"/>
      <name val="Calibri"/>
      <family val="0"/>
      <charset val="1"/>
    </font>
    <font>
      <b val="true"/>
      <sz val="10"/>
      <color rgb="FF5F5E5A"/>
      <name val="Calibri"/>
      <family val="0"/>
      <charset val="1"/>
    </font>
    <font>
      <i val="true"/>
      <sz val="9"/>
      <color rgb="FF5F5E5A"/>
      <name val="Calibri"/>
      <family val="0"/>
      <charset val="1"/>
    </font>
    <font>
      <b val="true"/>
      <sz val="12"/>
      <color rgb="FF0F6E56"/>
      <name val="Calibri"/>
      <family val="0"/>
      <charset val="1"/>
    </font>
    <font>
      <b val="true"/>
      <sz val="12"/>
      <color rgb="FFBA7517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AF3DE"/>
        <bgColor rgb="FFF1EFE8"/>
      </patternFill>
    </fill>
    <fill>
      <patternFill patternType="solid">
        <fgColor rgb="FFFAEEDA"/>
        <bgColor rgb="FFFCEBEB"/>
      </patternFill>
    </fill>
    <fill>
      <patternFill patternType="solid">
        <fgColor rgb="FFFCEBEB"/>
        <bgColor rgb="FFFAEEDA"/>
      </patternFill>
    </fill>
    <fill>
      <patternFill patternType="solid">
        <fgColor rgb="FFE6F1FB"/>
        <bgColor rgb="FFF1EFE8"/>
      </patternFill>
    </fill>
    <fill>
      <patternFill patternType="solid">
        <fgColor rgb="FFF1EFE8"/>
        <bgColor rgb="FFEAF3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F6E56"/>
      <rgbColor rgb="FFC0C0C0"/>
      <rgbColor rgb="FF808080"/>
      <rgbColor rgb="FF9999FF"/>
      <rgbColor rgb="FF854F0B"/>
      <rgbColor rgb="FFFAEEDA"/>
      <rgbColor rgb="FFE6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EAF3DE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C447C"/>
      <rgbColor rgb="FF339966"/>
      <rgbColor rgb="FF003300"/>
      <rgbColor rgb="FF333300"/>
      <rgbColor rgb="FFA32D2D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42"/>
    <col collapsed="false" customWidth="true" hidden="false" outlineLevel="0" max="10" min="10" style="0" width="3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6" hidden="false" customHeight="true" outlineLevel="0" collapsed="false">
      <c r="A5" s="4" t="n">
        <v>1</v>
      </c>
      <c r="B5" s="5" t="s">
        <v>12</v>
      </c>
      <c r="C5" s="6" t="s">
        <v>13</v>
      </c>
      <c r="D5" s="7" t="s">
        <v>14</v>
      </c>
      <c r="E5" s="8" t="s">
        <v>15</v>
      </c>
      <c r="F5" s="7" t="s">
        <v>16</v>
      </c>
      <c r="G5" s="8" t="s">
        <v>15</v>
      </c>
      <c r="H5" s="8" t="s">
        <v>15</v>
      </c>
      <c r="I5" s="6" t="s">
        <v>17</v>
      </c>
      <c r="J5" s="9" t="s">
        <v>18</v>
      </c>
    </row>
    <row r="6" customFormat="false" ht="36" hidden="false" customHeight="true" outlineLevel="0" collapsed="false">
      <c r="A6" s="4" t="n">
        <v>2</v>
      </c>
      <c r="B6" s="5" t="s">
        <v>19</v>
      </c>
      <c r="C6" s="6" t="s">
        <v>20</v>
      </c>
      <c r="D6" s="10" t="s">
        <v>21</v>
      </c>
      <c r="E6" s="11" t="s">
        <v>22</v>
      </c>
      <c r="F6" s="12" t="s">
        <v>23</v>
      </c>
      <c r="G6" s="11" t="s">
        <v>24</v>
      </c>
      <c r="H6" s="8" t="s">
        <v>25</v>
      </c>
      <c r="I6" s="6" t="s">
        <v>26</v>
      </c>
      <c r="J6" s="9" t="s">
        <v>27</v>
      </c>
    </row>
    <row r="7" customFormat="false" ht="36" hidden="false" customHeight="true" outlineLevel="0" collapsed="false">
      <c r="A7" s="4" t="n">
        <v>3</v>
      </c>
      <c r="B7" s="5" t="s">
        <v>28</v>
      </c>
      <c r="C7" s="6" t="s">
        <v>29</v>
      </c>
      <c r="D7" s="12" t="s">
        <v>30</v>
      </c>
      <c r="E7" s="11" t="s">
        <v>31</v>
      </c>
      <c r="F7" s="12" t="s">
        <v>23</v>
      </c>
      <c r="G7" s="11" t="s">
        <v>32</v>
      </c>
      <c r="H7" s="8" t="s">
        <v>33</v>
      </c>
      <c r="I7" s="6" t="s">
        <v>34</v>
      </c>
      <c r="J7" s="9" t="s">
        <v>35</v>
      </c>
    </row>
    <row r="8" customFormat="false" ht="36" hidden="false" customHeight="true" outlineLevel="0" collapsed="false">
      <c r="A8" s="4" t="n">
        <v>4</v>
      </c>
      <c r="B8" s="5" t="s">
        <v>36</v>
      </c>
      <c r="C8" s="6" t="s">
        <v>37</v>
      </c>
      <c r="D8" s="12" t="s">
        <v>30</v>
      </c>
      <c r="E8" s="11" t="s">
        <v>38</v>
      </c>
      <c r="F8" s="12" t="s">
        <v>23</v>
      </c>
      <c r="G8" s="11" t="s">
        <v>39</v>
      </c>
      <c r="H8" s="8" t="s">
        <v>40</v>
      </c>
      <c r="I8" s="6" t="s">
        <v>41</v>
      </c>
      <c r="J8" s="9" t="s">
        <v>42</v>
      </c>
    </row>
    <row r="9" customFormat="false" ht="36" hidden="false" customHeight="true" outlineLevel="0" collapsed="false">
      <c r="A9" s="4" t="n">
        <v>5</v>
      </c>
      <c r="B9" s="5" t="s">
        <v>43</v>
      </c>
      <c r="C9" s="6" t="s">
        <v>44</v>
      </c>
      <c r="D9" s="12" t="s">
        <v>30</v>
      </c>
      <c r="E9" s="11" t="s">
        <v>45</v>
      </c>
      <c r="F9" s="12" t="s">
        <v>23</v>
      </c>
      <c r="G9" s="11" t="s">
        <v>46</v>
      </c>
      <c r="H9" s="8" t="s">
        <v>47</v>
      </c>
      <c r="I9" s="6" t="s">
        <v>48</v>
      </c>
      <c r="J9" s="9" t="s">
        <v>49</v>
      </c>
    </row>
    <row r="10" customFormat="false" ht="36" hidden="false" customHeight="true" outlineLevel="0" collapsed="false">
      <c r="A10" s="4" t="n">
        <v>6</v>
      </c>
      <c r="B10" s="5" t="s">
        <v>50</v>
      </c>
      <c r="C10" s="6" t="s">
        <v>51</v>
      </c>
      <c r="D10" s="13" t="s">
        <v>52</v>
      </c>
      <c r="E10" s="11" t="s">
        <v>53</v>
      </c>
      <c r="F10" s="10" t="s">
        <v>54</v>
      </c>
      <c r="G10" s="11" t="s">
        <v>55</v>
      </c>
      <c r="H10" s="8" t="s">
        <v>47</v>
      </c>
      <c r="I10" s="6" t="s">
        <v>56</v>
      </c>
      <c r="J10" s="9" t="s">
        <v>57</v>
      </c>
    </row>
    <row r="11" customFormat="false" ht="36" hidden="false" customHeight="true" outlineLevel="0" collapsed="false">
      <c r="A11" s="4" t="n">
        <v>7</v>
      </c>
      <c r="B11" s="5" t="s">
        <v>58</v>
      </c>
      <c r="C11" s="6" t="s">
        <v>59</v>
      </c>
      <c r="D11" s="7" t="s">
        <v>14</v>
      </c>
      <c r="E11" s="8" t="s">
        <v>15</v>
      </c>
      <c r="F11" s="7" t="s">
        <v>16</v>
      </c>
      <c r="G11" s="8" t="s">
        <v>15</v>
      </c>
      <c r="H11" s="8" t="s">
        <v>15</v>
      </c>
      <c r="I11" s="6" t="s">
        <v>60</v>
      </c>
      <c r="J11" s="9" t="s">
        <v>61</v>
      </c>
    </row>
    <row r="12" customFormat="false" ht="36" hidden="false" customHeight="true" outlineLevel="0" collapsed="false">
      <c r="A12" s="4" t="n">
        <v>8</v>
      </c>
      <c r="B12" s="5" t="s">
        <v>62</v>
      </c>
      <c r="C12" s="6" t="s">
        <v>63</v>
      </c>
      <c r="D12" s="10" t="s">
        <v>64</v>
      </c>
      <c r="E12" s="11" t="s">
        <v>65</v>
      </c>
      <c r="F12" s="10" t="s">
        <v>54</v>
      </c>
      <c r="G12" s="11" t="s">
        <v>32</v>
      </c>
      <c r="H12" s="8" t="s">
        <v>33</v>
      </c>
      <c r="I12" s="6" t="s">
        <v>66</v>
      </c>
      <c r="J12" s="9" t="s">
        <v>67</v>
      </c>
    </row>
    <row r="13" customFormat="false" ht="36" hidden="false" customHeight="true" outlineLevel="0" collapsed="false">
      <c r="A13" s="4" t="n">
        <v>9</v>
      </c>
      <c r="B13" s="5" t="s">
        <v>68</v>
      </c>
      <c r="C13" s="6" t="s">
        <v>69</v>
      </c>
      <c r="D13" s="10" t="s">
        <v>21</v>
      </c>
      <c r="E13" s="11" t="s">
        <v>70</v>
      </c>
      <c r="F13" s="10" t="s">
        <v>54</v>
      </c>
      <c r="G13" s="11" t="s">
        <v>71</v>
      </c>
      <c r="H13" s="8" t="s">
        <v>25</v>
      </c>
      <c r="I13" s="6" t="s">
        <v>72</v>
      </c>
      <c r="J13" s="9" t="s">
        <v>73</v>
      </c>
    </row>
    <row r="14" customFormat="false" ht="36" hidden="false" customHeight="true" outlineLevel="0" collapsed="false">
      <c r="A14" s="4" t="n">
        <v>10</v>
      </c>
      <c r="B14" s="5" t="s">
        <v>74</v>
      </c>
      <c r="C14" s="6" t="s">
        <v>75</v>
      </c>
      <c r="D14" s="7" t="s">
        <v>14</v>
      </c>
      <c r="E14" s="8" t="s">
        <v>15</v>
      </c>
      <c r="F14" s="7" t="s">
        <v>16</v>
      </c>
      <c r="G14" s="8" t="s">
        <v>15</v>
      </c>
      <c r="H14" s="8" t="s">
        <v>15</v>
      </c>
      <c r="I14" s="6" t="s">
        <v>76</v>
      </c>
      <c r="J14" s="9" t="s">
        <v>77</v>
      </c>
    </row>
    <row r="15" customFormat="false" ht="36" hidden="false" customHeight="true" outlineLevel="0" collapsed="false">
      <c r="A15" s="4" t="n">
        <v>11</v>
      </c>
      <c r="B15" s="5" t="s">
        <v>78</v>
      </c>
      <c r="C15" s="6" t="s">
        <v>79</v>
      </c>
      <c r="D15" s="14" t="s">
        <v>80</v>
      </c>
      <c r="E15" s="8" t="s">
        <v>81</v>
      </c>
      <c r="F15" s="15" t="s">
        <v>81</v>
      </c>
      <c r="G15" s="8" t="s">
        <v>81</v>
      </c>
      <c r="H15" s="8" t="s">
        <v>81</v>
      </c>
      <c r="I15" s="6" t="s">
        <v>82</v>
      </c>
      <c r="J15" s="9" t="s">
        <v>83</v>
      </c>
    </row>
    <row r="16" customFormat="false" ht="36" hidden="false" customHeight="true" outlineLevel="0" collapsed="false">
      <c r="A16" s="4" t="n">
        <v>12</v>
      </c>
      <c r="B16" s="5" t="s">
        <v>84</v>
      </c>
      <c r="C16" s="6" t="s">
        <v>85</v>
      </c>
      <c r="D16" s="10" t="s">
        <v>86</v>
      </c>
      <c r="E16" s="11" t="s">
        <v>65</v>
      </c>
      <c r="F16" s="10" t="s">
        <v>54</v>
      </c>
      <c r="G16" s="11" t="s">
        <v>39</v>
      </c>
      <c r="H16" s="8" t="s">
        <v>40</v>
      </c>
      <c r="I16" s="6" t="s">
        <v>87</v>
      </c>
      <c r="J16" s="9" t="s">
        <v>42</v>
      </c>
    </row>
    <row r="17" customFormat="false" ht="36" hidden="false" customHeight="true" outlineLevel="0" collapsed="false">
      <c r="A17" s="4" t="n">
        <v>13</v>
      </c>
      <c r="B17" s="5" t="s">
        <v>88</v>
      </c>
      <c r="C17" s="6" t="s">
        <v>89</v>
      </c>
      <c r="D17" s="7" t="s">
        <v>14</v>
      </c>
      <c r="E17" s="8" t="s">
        <v>15</v>
      </c>
      <c r="F17" s="7" t="s">
        <v>16</v>
      </c>
      <c r="G17" s="8" t="s">
        <v>15</v>
      </c>
      <c r="H17" s="8" t="s">
        <v>15</v>
      </c>
      <c r="I17" s="6" t="s">
        <v>90</v>
      </c>
      <c r="J17" s="9" t="s">
        <v>91</v>
      </c>
    </row>
    <row r="18" customFormat="false" ht="36" hidden="false" customHeight="true" outlineLevel="0" collapsed="false">
      <c r="A18" s="4" t="n">
        <v>14</v>
      </c>
      <c r="B18" s="5" t="s">
        <v>92</v>
      </c>
      <c r="C18" s="6" t="s">
        <v>93</v>
      </c>
      <c r="D18" s="13" t="s">
        <v>52</v>
      </c>
      <c r="E18" s="11" t="s">
        <v>94</v>
      </c>
      <c r="F18" s="7" t="s">
        <v>16</v>
      </c>
      <c r="G18" s="11" t="s">
        <v>32</v>
      </c>
      <c r="H18" s="8" t="s">
        <v>40</v>
      </c>
      <c r="I18" s="6" t="s">
        <v>95</v>
      </c>
      <c r="J18" s="9" t="s">
        <v>96</v>
      </c>
    </row>
    <row r="19" customFormat="false" ht="36" hidden="false" customHeight="true" outlineLevel="0" collapsed="false">
      <c r="A19" s="4" t="n">
        <v>15</v>
      </c>
      <c r="B19" s="5" t="s">
        <v>97</v>
      </c>
      <c r="C19" s="6" t="s">
        <v>98</v>
      </c>
      <c r="D19" s="12" t="s">
        <v>30</v>
      </c>
      <c r="E19" s="11" t="s">
        <v>99</v>
      </c>
      <c r="F19" s="12" t="s">
        <v>23</v>
      </c>
      <c r="G19" s="11" t="s">
        <v>100</v>
      </c>
      <c r="H19" s="8" t="s">
        <v>101</v>
      </c>
      <c r="I19" s="6" t="s">
        <v>102</v>
      </c>
      <c r="J19" s="9" t="s">
        <v>103</v>
      </c>
    </row>
    <row r="20" customFormat="false" ht="36" hidden="false" customHeight="true" outlineLevel="0" collapsed="false">
      <c r="A20" s="4" t="n">
        <v>16</v>
      </c>
      <c r="B20" s="5" t="s">
        <v>104</v>
      </c>
      <c r="C20" s="6" t="s">
        <v>105</v>
      </c>
      <c r="D20" s="14" t="s">
        <v>80</v>
      </c>
      <c r="E20" s="8" t="s">
        <v>81</v>
      </c>
      <c r="F20" s="15" t="s">
        <v>81</v>
      </c>
      <c r="G20" s="8" t="s">
        <v>81</v>
      </c>
      <c r="H20" s="8" t="s">
        <v>81</v>
      </c>
      <c r="I20" s="6" t="s">
        <v>106</v>
      </c>
      <c r="J20" s="9" t="s">
        <v>83</v>
      </c>
    </row>
    <row r="22" customFormat="false" ht="15" hidden="false" customHeight="true" outlineLevel="0" collapsed="false">
      <c r="A22" s="16" t="s">
        <v>107</v>
      </c>
      <c r="B22" s="16"/>
      <c r="C22" s="16"/>
      <c r="D22" s="16"/>
      <c r="E22" s="16"/>
      <c r="F22" s="16"/>
      <c r="G22" s="16"/>
      <c r="H22" s="16"/>
      <c r="I22" s="16"/>
      <c r="J22" s="16"/>
    </row>
  </sheetData>
  <mergeCells count="3">
    <mergeCell ref="A1:J1"/>
    <mergeCell ref="A2:J2"/>
    <mergeCell ref="A22:J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52"/>
  </cols>
  <sheetData>
    <row r="1" customFormat="false" ht="31.5" hidden="false" customHeight="true" outlineLevel="0" collapsed="false">
      <c r="A1" s="1" t="s">
        <v>108</v>
      </c>
      <c r="B1" s="1"/>
      <c r="C1" s="1"/>
    </row>
    <row r="3" customFormat="false" ht="15" hidden="false" customHeight="false" outlineLevel="0" collapsed="false">
      <c r="A3" s="17" t="s">
        <v>109</v>
      </c>
    </row>
    <row r="4" customFormat="false" ht="15" hidden="false" customHeight="false" outlineLevel="0" collapsed="false">
      <c r="A4" s="3" t="s">
        <v>110</v>
      </c>
      <c r="B4" s="3" t="s">
        <v>111</v>
      </c>
      <c r="C4" s="3" t="s">
        <v>112</v>
      </c>
    </row>
    <row r="5" customFormat="false" ht="24" hidden="false" customHeight="true" outlineLevel="0" collapsed="false">
      <c r="A5" s="5" t="s">
        <v>113</v>
      </c>
      <c r="B5" s="11" t="n">
        <f aca="false">COUNTIF('Risk Matrix'!D5:D20,"Yes")</f>
        <v>4</v>
      </c>
      <c r="C5" s="9" t="s">
        <v>114</v>
      </c>
    </row>
    <row r="6" customFormat="false" ht="24" hidden="false" customHeight="true" outlineLevel="0" collapsed="false">
      <c r="A6" s="5" t="s">
        <v>115</v>
      </c>
      <c r="B6" s="11" t="n">
        <f aca="false">COUNTIF('Risk Matrix'!D5:D20,"Feature")+COUNTIF('Risk Matrix'!D5:D20,"Features")</f>
        <v>3</v>
      </c>
      <c r="C6" s="9" t="s">
        <v>116</v>
      </c>
    </row>
    <row r="7" customFormat="false" ht="24" hidden="false" customHeight="true" outlineLevel="0" collapsed="false">
      <c r="A7" s="5" t="s">
        <v>117</v>
      </c>
      <c r="B7" s="11" t="n">
        <f aca="false">COUNTIF('Risk Matrix'!D5:D20,"Hybrid")</f>
        <v>1</v>
      </c>
      <c r="C7" s="9" t="s">
        <v>62</v>
      </c>
    </row>
    <row r="8" customFormat="false" ht="24" hidden="false" customHeight="true" outlineLevel="0" collapsed="false">
      <c r="A8" s="5" t="s">
        <v>118</v>
      </c>
      <c r="B8" s="11" t="n">
        <f aca="false">COUNTIF('Risk Matrix'!D5:D20,"Hardware")</f>
        <v>2</v>
      </c>
      <c r="C8" s="9" t="s">
        <v>119</v>
      </c>
    </row>
    <row r="9" customFormat="false" ht="24" hidden="false" customHeight="true" outlineLevel="0" collapsed="false">
      <c r="A9" s="5" t="s">
        <v>120</v>
      </c>
      <c r="B9" s="11" t="n">
        <f aca="false">COUNTIF('Risk Matrix'!D5:D20,"No")</f>
        <v>4</v>
      </c>
      <c r="C9" s="9" t="s">
        <v>121</v>
      </c>
    </row>
    <row r="10" customFormat="false" ht="24" hidden="false" customHeight="true" outlineLevel="0" collapsed="false">
      <c r="A10" s="5" t="s">
        <v>122</v>
      </c>
      <c r="B10" s="11" t="n">
        <f aca="false">COUNTIF('Risk Matrix'!D5:D20,"Meta")</f>
        <v>2</v>
      </c>
      <c r="C10" s="9" t="s">
        <v>123</v>
      </c>
    </row>
    <row r="13" customFormat="false" ht="15" hidden="false" customHeight="false" outlineLevel="0" collapsed="false">
      <c r="A13" s="17" t="s">
        <v>124</v>
      </c>
    </row>
    <row r="14" customFormat="false" ht="15" hidden="false" customHeight="false" outlineLevel="0" collapsed="false">
      <c r="A14" s="3" t="s">
        <v>7</v>
      </c>
      <c r="B14" s="3" t="s">
        <v>111</v>
      </c>
      <c r="C14" s="3" t="s">
        <v>125</v>
      </c>
    </row>
    <row r="15" customFormat="false" ht="24" hidden="false" customHeight="true" outlineLevel="0" collapsed="false">
      <c r="A15" s="12" t="s">
        <v>23</v>
      </c>
      <c r="B15" s="11" t="n">
        <f aca="false">COUNTIF('Risk Matrix'!F5:F20,"High")</f>
        <v>5</v>
      </c>
      <c r="C15" s="9" t="s">
        <v>126</v>
      </c>
    </row>
    <row r="16" customFormat="false" ht="24" hidden="false" customHeight="true" outlineLevel="0" collapsed="false">
      <c r="A16" s="10" t="s">
        <v>54</v>
      </c>
      <c r="B16" s="11" t="n">
        <f aca="false">COUNTIF('Risk Matrix'!F5:F20,"Medium")</f>
        <v>4</v>
      </c>
      <c r="C16" s="9" t="s">
        <v>127</v>
      </c>
    </row>
    <row r="17" customFormat="false" ht="24" hidden="false" customHeight="true" outlineLevel="0" collapsed="false">
      <c r="A17" s="7" t="s">
        <v>16</v>
      </c>
      <c r="B17" s="11" t="n">
        <f aca="false">COUNTIF('Risk Matrix'!F5:F20,"Low")</f>
        <v>5</v>
      </c>
      <c r="C17" s="9" t="s">
        <v>128</v>
      </c>
    </row>
    <row r="18" customFormat="false" ht="24" hidden="false" customHeight="true" outlineLevel="0" collapsed="false">
      <c r="A18" s="14" t="s">
        <v>129</v>
      </c>
      <c r="B18" s="11" t="n">
        <f aca="false">COUNTIF('Risk Matrix'!F5:F20,"—")</f>
        <v>2</v>
      </c>
      <c r="C18" s="9" t="s">
        <v>130</v>
      </c>
    </row>
    <row r="21" customFormat="false" ht="15" hidden="false" customHeight="false" outlineLevel="0" collapsed="false">
      <c r="A21" s="18" t="s">
        <v>131</v>
      </c>
      <c r="B21" s="18"/>
      <c r="C21" s="18"/>
    </row>
    <row r="22" customFormat="false" ht="24" hidden="false" customHeight="true" outlineLevel="0" collapsed="false">
      <c r="A22" s="19" t="s">
        <v>132</v>
      </c>
      <c r="B22" s="19"/>
      <c r="C22" s="19"/>
    </row>
    <row r="23" customFormat="false" ht="24" hidden="false" customHeight="true" outlineLevel="0" collapsed="false">
      <c r="A23" s="19"/>
      <c r="B23" s="19"/>
      <c r="C23" s="19"/>
    </row>
    <row r="24" customFormat="false" ht="24" hidden="false" customHeight="true" outlineLevel="0" collapsed="false">
      <c r="A24" s="19"/>
      <c r="B24" s="19"/>
      <c r="C24" s="19"/>
    </row>
    <row r="25" customFormat="false" ht="24" hidden="false" customHeight="true" outlineLevel="0" collapsed="false">
      <c r="A25" s="19"/>
      <c r="B25" s="19"/>
      <c r="C25" s="19"/>
    </row>
  </sheetData>
  <mergeCells count="3">
    <mergeCell ref="A1:C1"/>
    <mergeCell ref="A21:C21"/>
    <mergeCell ref="A22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2026-04-24T07:28:55Z</dcterms:created>
  <dc:creator>openpyxl</dc:creator>
  <dc:description/>
  <dc:language>en-US</dc:language>
  <cp:lastModifiedBy/>
  <dcterms:modified xsi:type="dcterms:W3CDTF">2026-04-24T07:28:55Z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